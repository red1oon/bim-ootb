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put" r:id="rId3" sheetId="1"/>
    <sheet name="Process" r:id="rId4" sheetId="2"/>
    <sheet name="Reference" r:id="rId5" sheetId="3"/>
    <sheet name="Output" r:id="rId6" sheetId="4"/>
    <sheet name="BACKUP" r:id="rId7" sheetId="5"/>
  </sheets>
</workbook>
</file>

<file path=xl/sharedStrings.xml><?xml version="1.0" encoding="utf-8"?>
<sst xmlns="http://schemas.openxmlformats.org/spreadsheetml/2006/main" count="59" uniqueCount="44">
  <si>
    <t>Input</t>
  </si>
  <si>
    <t>@a.name@2</t>
  </si>
  <si>
    <t>@CONCAT(to_char(DATE #1, 'DD/MM/YYYY'),' - ',to_char(DATE #2, 'DD/MM/YYYY'))@3</t>
  </si>
  <si>
    <t>@el.value@4</t>
  </si>
  <si>
    <t>@el.name@5</t>
  </si>
  <si>
    <t>@SUM(CASE WHEN SUBSTR(p.startdate,1,10) &lt; SUBSTR(#1,1,10) THEN a.amtacctdr-a.amtacctcr ELSE 0 END)@6</t>
  </si>
  <si>
    <t>@SUM(CASE WHEN SUBSTR(p.startdate,1,10) &gt;= SUBSTR(#1,1,10) THEN a.amtacctdr ELSE 0 END)@7</t>
  </si>
  <si>
    <t>@SUM(CASE WHEN SUBSTR(p.startdate,1,10) &gt;= SUBSTR(#1,1,10) THEN a.amtacctcr ELSE 0 END)@8</t>
  </si>
  <si>
    <t>ANNOTATION</t>
  </si>
  <si>
    <t>ROW</t>
  </si>
  <si>
    <t>SELECT</t>
  </si>
  <si>
    <t>TABLE</t>
  </si>
  <si>
    <t>JOIN</t>
  </si>
  <si>
    <t>WHERE</t>
  </si>
  <si>
    <t>ADDRESS</t>
  </si>
  <si>
    <t>Direction</t>
  </si>
  <si>
    <t>VALUES</t>
  </si>
  <si>
    <t>a.name</t>
  </si>
  <si>
    <t>ad_client a</t>
  </si>
  <si>
    <t>S</t>
  </si>
  <si>
    <t>CONCAT(to_char(DATE #1, 'DD/MM/YYYY'),' - ',to_char(DATE #2, 'DD/MM/YYYY'))</t>
  </si>
  <si>
    <t>ad_org a</t>
  </si>
  <si>
    <t>el.value</t>
  </si>
  <si>
    <t>fact_acct a</t>
  </si>
  <si>
    <t>a.postingtype='A' AND SUBSTR(p.startdate,1,10) &lt;= SUBSTR(#2,1,10) GROUP BY el.value, el.name ORDER BY el.value</t>
  </si>
  <si>
    <t>V</t>
  </si>
  <si>
    <t>el.name</t>
  </si>
  <si>
    <t>INNER JOIN c_elementvalue el ON el.c_elementvalue_id=a.account_id</t>
  </si>
  <si>
    <t>SUM(CASE WHEN SUBSTR(p.startdate,1,10) &lt; SUBSTR(#1,1,10) THEN a.amtacctdr-a.amtacctcr ELSE 0 END)</t>
  </si>
  <si>
    <t>INNER JOIN c_period p ON p.c_period_id=a.c_period_id</t>
  </si>
  <si>
    <t>SUM(CASE WHEN SUBSTR(p.startdate,1,10) &gt;= SUBSTR(#1,1,10) THEN a.amtacctdr ELSE 0 END)</t>
  </si>
  <si>
    <t>SUM(CASE WHEN SUBSTR(p.startdate,1,10) &gt;= SUBSTR(#1,1,10) THEN a.amtacctcr ELSE 0 END)</t>
  </si>
  <si>
    <t>END</t>
  </si>
  <si>
    <t>ref</t>
  </si>
  <si>
    <t>งบทดลอง (Trial Balance)</t>
  </si>
  <si>
    <t xml:space="preserve">บริษัท : </t>
  </si>
  <si>
    <t xml:space="preserve">ช่วงวันที่ : </t>
  </si>
  <si>
    <t>รหัสบัญชี</t>
  </si>
  <si>
    <t>ชื่อบัญชี</t>
  </si>
  <si>
    <t>ยอดยกมา</t>
  </si>
  <si>
    <t>เดบิต</t>
  </si>
  <si>
    <t>เครดิต</t>
  </si>
  <si>
    <t>ยอดคงเหลือ</t>
  </si>
  <si>
    <t>ผลต่างเดบิต - เครดิต (ต้องเป็น 0)</t>
  </si>
</sst>
</file>

<file path=xl/styles.xml><?xml version="1.0" encoding="utf-8"?>
<styleSheet xmlns="http://schemas.openxmlformats.org/spreadsheetml/2006/main">
  <numFmts count="1">
    <numFmt numFmtId="164" formatCode="#,##0.00;(#,##0.00);-"/>
  </numFmts>
  <fonts count="5">
    <font>
      <sz val="10.0"/>
      <color indexed="8"/>
      <name val="Arial"/>
      <family val="2"/>
      <scheme val="minor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</font>
    <font>
      <name val="Arial"/>
      <sz val="9.0"/>
      <u val="none"/>
    </font>
  </fonts>
  <fills count="6">
    <fill>
      <patternFill patternType="none"/>
    </fill>
    <fill>
      <patternFill patternType="darkGray"/>
    </fill>
    <fill>
      <patternFill/>
    </fill>
    <fill>
      <patternFill patternType="solid"/>
    </fill>
    <fill>
      <patternFill patternType="solid">
        <fgColor rgb="C0C0C0"/>
      </patternFill>
    </fill>
    <fill>
      <patternFill patternType="solid">
        <fgColor rgb="FFFF99"/>
      </patternFill>
    </fill>
  </fills>
  <borders count="23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/>
      <right/>
      <top/>
      <bottom style="medium"/>
      <diagonal/>
    </border>
    <border>
      <left/>
      <right/>
      <top>
        <color rgb="000000"/>
      </top>
      <bottom style="medium"/>
      <diagonal/>
    </border>
    <border>
      <left/>
      <right/>
      <top>
        <color rgb="000000"/>
      </top>
      <bottom style="medium">
        <color rgb="000000"/>
      </bottom>
      <diagonal/>
    </border>
    <border>
      <left>
        <color rgb="000000"/>
      </left>
      <right/>
      <top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double"/>
    </border>
    <border>
      <top style="double">
        <color rgb="000000"/>
      </top>
    </border>
    <border>
      <top style="double">
        <color rgb="000000"/>
      </top>
      <bottom>
        <color rgb="000000"/>
      </bottom>
    </border>
    <border>
      <left>
        <color rgb="000000"/>
      </left>
      <top style="double">
        <color rgb="000000"/>
      </top>
      <bottom>
        <color rgb="000000"/>
      </bottom>
    </border>
    <border>
      <left>
        <color rgb="000000"/>
      </left>
      <right>
        <color rgb="000000"/>
      </right>
      <top style="double">
        <color rgb="000000"/>
      </top>
      <bottom>
        <color rgb="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true" applyNumberFormat="true" applyFill="true" applyBorder="true" applyAlignment="true">
      <alignment horizontal="general" vertical="bottom" wrapText="false" indent="0" textRotation="0"/>
      <protection locked="true" hidden="false"/>
    </xf>
    <xf numFmtId="0" fontId="2" fillId="2" borderId="4" xfId="0" applyFont="true" applyNumberFormat="true" applyFill="true" applyBorder="true" applyAlignment="true">
      <alignment horizontal="general" vertical="bottom" wrapText="false" indent="0" textRotation="0"/>
      <protection locked="true" hidden="false"/>
    </xf>
    <xf numFmtId="0" fontId="3" fillId="4" borderId="9" xfId="0" applyFont="true" applyNumberFormat="true" applyFill="true" applyBorder="true" applyAlignment="true">
      <alignment horizontal="center" vertical="bottom" wrapText="false" indent="0" textRotation="0"/>
      <protection locked="true" hidden="false"/>
    </xf>
    <xf numFmtId="0" fontId="4" fillId="2" borderId="17" xfId="0" applyFont="true" applyNumberFormat="true" applyFill="true" applyBorder="true" applyAlignment="true">
      <alignment horizontal="general" vertical="bottom" wrapText="false" indent="0" textRotation="0"/>
      <protection locked="true" hidden="false"/>
    </xf>
    <xf numFmtId="164" fontId="4" fillId="2" borderId="17" xfId="0" applyFont="true" applyNumberFormat="true" applyFill="true" applyBorder="true" applyAlignment="true">
      <alignment horizontal="general" vertical="bottom" wrapText="false" indent="0" textRotation="0"/>
      <protection locked="true" hidden="false"/>
    </xf>
    <xf numFmtId="164" fontId="3" fillId="5" borderId="22" xfId="0" applyFont="true" applyNumberFormat="true" applyFill="true" applyBorder="true" applyAlignment="true">
      <alignment horizontal="general" vertical="bottom" wrapText="false" indent="0" textRotation="0"/>
      <protection locked="true" hidden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E6"/>
  <sheetViews>
    <sheetView workbookViewId="0" tabSelected="true" showGridLines="true"/>
  </sheetViews>
  <sheetFormatPr defaultRowHeight="12.75" baseColWidth="8" customHeight="true"/>
  <sheetData>
    <row r="1" ht="12.75" customHeight="true">
      <c r="A1" s="1" t="s">
        <v>0</v>
      </c>
    </row>
    <row r="2" ht="12.75" customHeight="true">
      <c r="B2" s="1" t="s">
        <v>1</v>
      </c>
    </row>
    <row r="3" ht="12.75" customHeight="true">
      <c r="B3" s="1" t="s">
        <v>2</v>
      </c>
    </row>
    <row r="6" ht="12.75" customHeight="true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</row>
  </sheetData>
  <pageMargins bottom="1.0" footer="0.3" header="0.3" left="0.75" right="0.75" top="1.0"/>
  <pageSetup orientation="portrait" paperSize="1" fitToWidth="1" fitToHeight="1"/>
</worksheet>
</file>

<file path=xl/worksheets/sheet2.xml><?xml version="1.0" encoding="utf-8"?>
<worksheet xmlns="http://schemas.openxmlformats.org/spreadsheetml/2006/main">
  <sheetPr>
    <pageSetUpPr fitToPage="true"/>
  </sheetPr>
  <dimension ref="A1:I9"/>
  <sheetViews>
    <sheetView workbookViewId="0" showGridLines="true"/>
  </sheetViews>
  <sheetFormatPr defaultRowHeight="12.75" baseColWidth="8" customHeight="true"/>
  <sheetData>
    <row r="1" ht="12.75" customHeight="true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ht="12.75" customHeight="true">
      <c r="A2" s="1" t="str">
        <f>CONCATENATE("@",C2,"@",B2)</f>
        <v>@a.name@2</v>
      </c>
      <c r="B2" s="1" t="n">
        <f>ROW()</f>
        <v>2.0</v>
      </c>
      <c r="C2" s="1" t="s">
        <v>17</v>
      </c>
      <c r="D2" s="1" t="s">
        <v>18</v>
      </c>
      <c r="H2" s="1" t="s">
        <v>19</v>
      </c>
    </row>
    <row r="3" ht="12.75" customHeight="true">
      <c r="A3" s="1" t="str">
        <f>CONCATENATE("@",C3,"@",B3)</f>
        <v>@CONCAT(to_char(DATE #1, 'DD/MM/YYYY'),' - ',to_char(DATE #2, 'DD/MM/YYYY'))@3</v>
      </c>
      <c r="B3" s="1" t="n">
        <f>ROW()</f>
        <v>3.0</v>
      </c>
      <c r="C3" s="1" t="s">
        <v>20</v>
      </c>
      <c r="D3" s="1" t="s">
        <v>21</v>
      </c>
      <c r="H3" s="1" t="s">
        <v>19</v>
      </c>
    </row>
    <row r="4" ht="12.75" customHeight="true">
      <c r="A4" s="1" t="str">
        <f>CONCATENATE("@",C4,"@",B4)</f>
        <v>@el.value@4</v>
      </c>
      <c r="B4" s="1" t="n">
        <f>ROW()</f>
        <v>4.0</v>
      </c>
      <c r="C4" s="1" t="s">
        <v>22</v>
      </c>
      <c r="D4" s="1" t="s">
        <v>23</v>
      </c>
      <c r="F4" s="1" t="s">
        <v>24</v>
      </c>
      <c r="H4" s="1" t="s">
        <v>25</v>
      </c>
    </row>
    <row r="5" ht="12.75" customHeight="true">
      <c r="A5" s="1" t="str">
        <f>CONCATENATE("@",C5,"@",B5)</f>
        <v>@el.name@5</v>
      </c>
      <c r="B5" s="1" t="n">
        <f>ROW()</f>
        <v>5.0</v>
      </c>
      <c r="C5" s="1" t="s">
        <v>26</v>
      </c>
      <c r="D5" s="1" t="s">
        <v>27</v>
      </c>
      <c r="H5" s="1" t="s">
        <v>25</v>
      </c>
    </row>
    <row r="6" ht="12.75" customHeight="true">
      <c r="A6" s="1" t="str">
        <f>CONCATENATE("@",C6,"@",B6)</f>
        <v>@SUM(CASE WHEN SUBSTR(p.startdate,1,10) &lt; SUBSTR(#1,1,10) THEN a.amtacctdr-a.amtacctcr ELSE 0 END)@6</v>
      </c>
      <c r="B6" s="1" t="n">
        <f>ROW()</f>
        <v>6.0</v>
      </c>
      <c r="C6" s="1" t="s">
        <v>28</v>
      </c>
      <c r="D6" s="1" t="s">
        <v>29</v>
      </c>
      <c r="H6" s="1" t="s">
        <v>25</v>
      </c>
    </row>
    <row r="7" ht="12.75" customHeight="true">
      <c r="A7" s="1" t="str">
        <f>CONCATENATE("@",C7,"@",B7)</f>
        <v>@SUM(CASE WHEN SUBSTR(p.startdate,1,10) &gt;= SUBSTR(#1,1,10) THEN a.amtacctdr ELSE 0 END)@7</v>
      </c>
      <c r="B7" s="1" t="n">
        <f>ROW()</f>
        <v>7.0</v>
      </c>
      <c r="C7" s="1" t="s">
        <v>30</v>
      </c>
      <c r="H7" s="1" t="s">
        <v>25</v>
      </c>
    </row>
    <row r="8" ht="12.75" customHeight="true">
      <c r="A8" s="1" t="str">
        <f>CONCATENATE("@",C8,"@",B8)</f>
        <v>@SUM(CASE WHEN SUBSTR(p.startdate,1,10) &gt;= SUBSTR(#1,1,10) THEN a.amtacctcr ELSE 0 END)@8</v>
      </c>
      <c r="B8" s="1" t="n">
        <f>ROW()</f>
        <v>8.0</v>
      </c>
      <c r="C8" s="1" t="s">
        <v>31</v>
      </c>
      <c r="H8" s="1" t="s">
        <v>25</v>
      </c>
    </row>
    <row r="9" ht="12.75" customHeight="true">
      <c r="B9" s="1" t="n">
        <f>ROW()</f>
        <v>9.0</v>
      </c>
      <c r="I9" s="1" t="s">
        <v>32</v>
      </c>
    </row>
  </sheetData>
  <pageMargins bottom="1.0" footer="0.3" header="0.3" left="0.75" right="0.75" top="1.0"/>
  <pageSetup orientation="portrait" paperSize="1" fitToWidth="1" fitToHeight="1"/>
</worksheet>
</file>

<file path=xl/worksheets/sheet3.xml><?xml version="1.0" encoding="utf-8"?>
<worksheet xmlns="http://schemas.openxmlformats.org/spreadsheetml/2006/main">
  <sheetPr>
    <pageSetUpPr fitToPage="true"/>
  </sheetPr>
  <dimension ref="A1"/>
  <sheetViews>
    <sheetView workbookViewId="0" showGridLines="true"/>
  </sheetViews>
  <sheetFormatPr defaultRowHeight="12.75" baseColWidth="8" customHeight="true"/>
  <sheetData>
    <row r="1" ht="12.75" customHeight="true">
      <c r="A1" s="1" t="s">
        <v>33</v>
      </c>
    </row>
  </sheetData>
  <pageMargins bottom="1.0" footer="0.3" header="0.3" left="0.75" right="0.75" top="1.0"/>
  <pageSetup orientation="portrait" paperSize="1" fitToWidth="1" fitToHeight="1"/>
</worksheet>
</file>

<file path=xl/worksheets/sheet4.xml><?xml version="1.0" encoding="utf-8"?>
<worksheet xmlns="http://schemas.openxmlformats.org/spreadsheetml/2006/main">
  <sheetPr>
    <pageSetUpPr fitToPage="true"/>
  </sheetPr>
  <dimension ref="A1:F10"/>
  <sheetViews>
    <sheetView workbookViewId="0" showGridLines="true"/>
  </sheetViews>
  <sheetFormatPr defaultRowHeight="12.75" baseColWidth="8" customHeight="true"/>
  <cols>
    <col min="1" max="1" width="12.0" customWidth="true"/>
    <col min="2" max="2" width="40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 ht="12.75" customHeight="true">
      <c r="A1" s="2" t="s">
        <v>34</v>
      </c>
    </row>
    <row r="2" ht="12.75" customHeight="true">
      <c r="A2" s="1" t="s">
        <v>35</v>
      </c>
    </row>
    <row r="3" ht="12.75" customHeight="true">
      <c r="A3" s="1" t="s">
        <v>36</v>
      </c>
    </row>
    <row r="5" ht="12.75" customHeight="true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</row>
    <row r="6" ht="12.75" customHeight="true">
      <c r="A6" s="4"/>
      <c r="B6" s="4"/>
      <c r="C6" s="5"/>
      <c r="D6" s="5"/>
      <c r="E6" s="5"/>
      <c r="F6" s="5" t="n">
        <f>C6+D6-E6</f>
        <v>0.0</v>
      </c>
    </row>
    <row r="7" ht="12.75" customHeight="true">
      <c r="A7" s="1" t="str">
        <f>CONCATENATE("")</f>
        <v/>
      </c>
      <c r="B7" s="1" t="str">
        <f>CONCATENATE("")</f>
        <v/>
      </c>
      <c r="C7" s="1" t="str">
        <f>CONCATENATE("")</f>
        <v/>
      </c>
      <c r="D7" s="1" t="str">
        <f>CONCATENATE("")</f>
        <v/>
      </c>
      <c r="E7" s="1" t="str">
        <f>CONCATENATE("")</f>
        <v/>
      </c>
      <c r="F7" s="1" t="str">
        <f>CONCATENATE("")</f>
        <v/>
      </c>
    </row>
    <row r="8" ht="12.75" customHeight="true">
      <c r="A8" s="6" t="str">
        <f>CONCATENATE("รวม")</f>
        <v>รวม</v>
      </c>
      <c r="B8" s="6" t="str">
        <f>CONCATENATE("")</f>
        <v/>
      </c>
      <c r="C8" s="6" t="n">
        <f>SUM(C6:C7)</f>
        <v>0.0</v>
      </c>
      <c r="D8" s="6" t="n">
        <f>SUM(D6:D7)</f>
        <v>0.0</v>
      </c>
      <c r="E8" s="6" t="n">
        <f>SUM(E6:E7)</f>
        <v>0.0</v>
      </c>
      <c r="F8" s="6" t="n">
        <f>SUM(F6:F7)</f>
        <v>0.0</v>
      </c>
    </row>
    <row r="10" ht="12.75" customHeight="true">
      <c r="B10" s="1" t="s">
        <v>43</v>
      </c>
      <c r="D10" s="5" t="n">
        <f>D8-E8</f>
        <v>0.0</v>
      </c>
    </row>
  </sheetData>
  <pageMargins bottom="1.0" footer="0.3" header="0.3" left="0.75" right="0.75" top="1.0"/>
  <pageSetup orientation="portrait" paperSize="1" fitToWidth="1" fitToHeight="1"/>
</worksheet>
</file>

<file path=xl/worksheets/sheet5.xml><?xml version="1.0" encoding="utf-8"?>
<worksheet xmlns="http://schemas.openxmlformats.org/spreadsheetml/2006/main">
  <sheetPr>
    <pageSetUpPr fitToPage="true"/>
  </sheetPr>
  <dimension ref="A1:F10"/>
  <sheetViews>
    <sheetView workbookViewId="0" showGridLines="true"/>
  </sheetViews>
  <sheetFormatPr defaultRowHeight="12.75" baseColWidth="8" customHeight="true"/>
  <cols>
    <col min="1" max="1" width="12.0" customWidth="true"/>
    <col min="2" max="2" width="40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 ht="12.75" customHeight="true">
      <c r="A1" s="2" t="s">
        <v>34</v>
      </c>
    </row>
    <row r="2" ht="12.75" customHeight="true">
      <c r="A2" s="1" t="s">
        <v>35</v>
      </c>
    </row>
    <row r="3" ht="12.75" customHeight="true">
      <c r="A3" s="1" t="s">
        <v>36</v>
      </c>
    </row>
    <row r="5" ht="12.75" customHeight="true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</row>
    <row r="6" ht="12.75" customHeight="true">
      <c r="A6" s="4"/>
      <c r="B6" s="4"/>
      <c r="C6" s="5"/>
      <c r="D6" s="5"/>
      <c r="E6" s="5"/>
      <c r="F6" s="5" t="n">
        <f>C6+D6-E6</f>
        <v>0.0</v>
      </c>
    </row>
    <row r="7" ht="12.75" customHeight="true">
      <c r="A7" s="1" t="str">
        <f>CONCATENATE("")</f>
        <v/>
      </c>
      <c r="B7" s="1" t="str">
        <f>CONCATENATE("")</f>
        <v/>
      </c>
      <c r="C7" s="1" t="str">
        <f>CONCATENATE("")</f>
        <v/>
      </c>
      <c r="D7" s="1" t="str">
        <f>CONCATENATE("")</f>
        <v/>
      </c>
      <c r="E7" s="1" t="str">
        <f>CONCATENATE("")</f>
        <v/>
      </c>
      <c r="F7" s="1" t="str">
        <f>CONCATENATE("")</f>
        <v/>
      </c>
    </row>
    <row r="8" ht="12.75" customHeight="true">
      <c r="A8" s="6" t="str">
        <f>CONCATENATE("รวม")</f>
        <v>รวม</v>
      </c>
      <c r="B8" s="6" t="str">
        <f>CONCATENATE("")</f>
        <v/>
      </c>
      <c r="C8" s="6" t="n">
        <f>SUM(C6:C7)</f>
        <v>0.0</v>
      </c>
      <c r="D8" s="6" t="n">
        <f>SUM(D6:D7)</f>
        <v>0.0</v>
      </c>
      <c r="E8" s="6" t="n">
        <f>SUM(E6:E7)</f>
        <v>0.0</v>
      </c>
      <c r="F8" s="6" t="n">
        <f>SUM(F6:F7)</f>
        <v>0.0</v>
      </c>
    </row>
    <row r="10" ht="12.75" customHeight="true">
      <c r="B10" s="1" t="s">
        <v>43</v>
      </c>
      <c r="D10" s="5" t="n">
        <f>D8-E8</f>
        <v>0.0</v>
      </c>
    </row>
  </sheetData>
  <pageMargins bottom="1.0" footer="0.3" header="0.3" left="0.75" right="0.75" top="1.0"/>
  <pageSetup orientation="portrait" paperSize="1" fitToWidth="1" fitToHeight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2026-10-13T12:11:06Z</dcterms:created>
  <dc:creator>Apache POI</dc:creator>
</cp:coreProperties>
</file>